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Basic" sheetId="2" r:id="rId1"/>
    <sheet name="conditional formating" sheetId="3" r:id="rId2"/>
    <sheet name="date" sheetId="4" r:id="rId3"/>
    <sheet name="index" sheetId="5" r:id="rId4"/>
    <sheet name="offset" sheetId="6" r:id="rId5"/>
    <sheet name="choose" sheetId="7" r:id="rId6"/>
    <sheet name="Sheet1" sheetId="8" r:id="rId7"/>
    <sheet name="LET" sheetId="9" r:id="rId8"/>
    <sheet name="Sheet3" sheetId="10" r:id="rId9"/>
  </sheets>
  <calcPr calcId="145621"/>
</workbook>
</file>

<file path=xl/calcChain.xml><?xml version="1.0" encoding="utf-8"?>
<calcChain xmlns="http://schemas.openxmlformats.org/spreadsheetml/2006/main">
  <c r="J18" i="8" l="1"/>
  <c r="J25" i="8"/>
  <c r="J22" i="8"/>
  <c r="J15" i="8"/>
  <c r="J17" i="8"/>
  <c r="J13" i="8" l="1"/>
  <c r="I12" i="7" l="1"/>
  <c r="F21" i="7"/>
  <c r="F16" i="7"/>
  <c r="C17" i="7"/>
  <c r="D14" i="7"/>
  <c r="D6" i="6"/>
  <c r="D7" i="6"/>
  <c r="C6" i="6"/>
  <c r="C7" i="6"/>
  <c r="D5" i="6"/>
  <c r="C5" i="6"/>
  <c r="F19" i="7"/>
  <c r="D5" i="4" l="1"/>
  <c r="C5" i="4"/>
  <c r="H5" i="4" s="1"/>
  <c r="S6" i="2"/>
  <c r="G5" i="4" l="1"/>
  <c r="F5" i="4"/>
  <c r="E5" i="4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6" i="2"/>
  <c r="K6" i="2"/>
  <c r="K7" i="2" l="1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6" i="2"/>
  <c r="D7" i="2"/>
  <c r="F7" i="2" s="1"/>
  <c r="D8" i="2"/>
  <c r="F8" i="2" s="1"/>
  <c r="D9" i="2"/>
  <c r="F9" i="2" s="1"/>
  <c r="D10" i="2"/>
  <c r="F10" i="2" s="1"/>
  <c r="D11" i="2"/>
  <c r="F11" i="2" s="1"/>
  <c r="D12" i="2"/>
  <c r="F12" i="2" s="1"/>
  <c r="D13" i="2"/>
  <c r="F13" i="2" s="1"/>
  <c r="D14" i="2"/>
  <c r="F14" i="2" s="1"/>
  <c r="D15" i="2"/>
  <c r="F15" i="2" s="1"/>
  <c r="D16" i="2"/>
  <c r="F16" i="2" s="1"/>
  <c r="D17" i="2"/>
  <c r="F17" i="2" s="1"/>
  <c r="D18" i="2"/>
  <c r="F18" i="2" s="1"/>
  <c r="D19" i="2"/>
  <c r="F19" i="2" s="1"/>
  <c r="D20" i="2"/>
  <c r="F20" i="2" s="1"/>
  <c r="D6" i="2"/>
  <c r="F6" i="2" s="1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6" i="2"/>
</calcChain>
</file>

<file path=xl/sharedStrings.xml><?xml version="1.0" encoding="utf-8"?>
<sst xmlns="http://schemas.openxmlformats.org/spreadsheetml/2006/main" count="307" uniqueCount="196">
  <si>
    <t>Customer Name</t>
  </si>
  <si>
    <t>Candice Levy</t>
  </si>
  <si>
    <t>Xerxes Smith</t>
  </si>
  <si>
    <t>Levi Douglas</t>
  </si>
  <si>
    <t>Uriel Benton</t>
  </si>
  <si>
    <t>Celeste Pugh</t>
  </si>
  <si>
    <t>Vance Campos</t>
  </si>
  <si>
    <t>Latifah Wall</t>
  </si>
  <si>
    <t>Jane Hernandez</t>
  </si>
  <si>
    <t>Wanda Garza</t>
  </si>
  <si>
    <t>Athena Fitzpatrick</t>
  </si>
  <si>
    <t>Anjolie Hicks</t>
  </si>
  <si>
    <t>Isaac Cooper</t>
  </si>
  <si>
    <t>Asher Weber</t>
  </si>
  <si>
    <t>Ethan Gregory</t>
  </si>
  <si>
    <t>Hayes Rollins</t>
  </si>
  <si>
    <t xml:space="preserve">first </t>
  </si>
  <si>
    <t>last</t>
  </si>
  <si>
    <t>upper</t>
  </si>
  <si>
    <t>lower</t>
  </si>
  <si>
    <t>proper</t>
  </si>
  <si>
    <t>search</t>
  </si>
  <si>
    <t>replace</t>
  </si>
  <si>
    <t>substitute</t>
  </si>
  <si>
    <t>mid</t>
  </si>
  <si>
    <t>index</t>
  </si>
  <si>
    <t>match</t>
  </si>
  <si>
    <t>uniques</t>
  </si>
  <si>
    <t>Order Date</t>
  </si>
  <si>
    <t>Order ID</t>
  </si>
  <si>
    <t>Country</t>
  </si>
  <si>
    <t>Product Name</t>
  </si>
  <si>
    <t>Sales Channel</t>
  </si>
  <si>
    <t>Quantity</t>
  </si>
  <si>
    <t>Revenue</t>
  </si>
  <si>
    <t>Congo</t>
  </si>
  <si>
    <t>SUPA101</t>
  </si>
  <si>
    <t>Online</t>
  </si>
  <si>
    <t>Panama</t>
  </si>
  <si>
    <t>DETA200</t>
  </si>
  <si>
    <t>Tanzania, United Republic of</t>
  </si>
  <si>
    <t>DETA800</t>
  </si>
  <si>
    <t>Retail</t>
  </si>
  <si>
    <t>South Africa</t>
  </si>
  <si>
    <t>SUPA104</t>
  </si>
  <si>
    <t>Gabon</t>
  </si>
  <si>
    <t>PURA200</t>
  </si>
  <si>
    <t>Syrian Arab Republic</t>
  </si>
  <si>
    <t>PURA100</t>
  </si>
  <si>
    <t>Guadeloupe</t>
  </si>
  <si>
    <t>DETA100</t>
  </si>
  <si>
    <t>Macedonia</t>
  </si>
  <si>
    <t>Direct</t>
  </si>
  <si>
    <t>Kyrgyzstan</t>
  </si>
  <si>
    <t>SUPA103</t>
  </si>
  <si>
    <t>Reunion</t>
  </si>
  <si>
    <t>Turks and Caicos Islands</t>
  </si>
  <si>
    <t>Netherlands Antilles</t>
  </si>
  <si>
    <t>Tuvalu</t>
  </si>
  <si>
    <t>Nepal</t>
  </si>
  <si>
    <t>PURA500</t>
  </si>
  <si>
    <t>MacKenzie Moss</t>
  </si>
  <si>
    <t>Oman</t>
  </si>
  <si>
    <t>Students Name</t>
  </si>
  <si>
    <t>Andy</t>
  </si>
  <si>
    <t>Dough</t>
  </si>
  <si>
    <t>Steve</t>
  </si>
  <si>
    <t>Glen</t>
  </si>
  <si>
    <t>Mark</t>
  </si>
  <si>
    <t>Symon</t>
  </si>
  <si>
    <t>Tim</t>
  </si>
  <si>
    <t>Jack</t>
  </si>
  <si>
    <t>Marks in Science</t>
  </si>
  <si>
    <t>Marks in Matchs</t>
  </si>
  <si>
    <t>Marks in English</t>
  </si>
  <si>
    <t>Total Marks</t>
  </si>
  <si>
    <t>Average Marks</t>
  </si>
  <si>
    <t>Total Students</t>
  </si>
  <si>
    <t>Average of Students</t>
  </si>
  <si>
    <t>Student Name</t>
  </si>
  <si>
    <t>Empcode</t>
  </si>
  <si>
    <t>First Name</t>
  </si>
  <si>
    <t>Last Name</t>
  </si>
  <si>
    <t>Dept</t>
  </si>
  <si>
    <t>Region</t>
  </si>
  <si>
    <t>Branch</t>
  </si>
  <si>
    <t>Hiredate</t>
  </si>
  <si>
    <t>Salary</t>
  </si>
  <si>
    <t>Practice</t>
  </si>
  <si>
    <t>Nested If criteria</t>
  </si>
  <si>
    <t>Raja</t>
  </si>
  <si>
    <t>Raymondekar</t>
  </si>
  <si>
    <t>Admin</t>
  </si>
  <si>
    <t>north</t>
  </si>
  <si>
    <t>Ferozepur</t>
  </si>
  <si>
    <t>Sumif to find the salaries of employees in South region</t>
  </si>
  <si>
    <t>Result</t>
  </si>
  <si>
    <t>Suman</t>
  </si>
  <si>
    <t>Shinde</t>
  </si>
  <si>
    <t>Sales</t>
  </si>
  <si>
    <t>east</t>
  </si>
  <si>
    <t>Cuttack</t>
  </si>
  <si>
    <t>&lt;5000</t>
  </si>
  <si>
    <t>&lt;5k</t>
  </si>
  <si>
    <t>Kuldeep</t>
  </si>
  <si>
    <t>Sharma</t>
  </si>
  <si>
    <t>south</t>
  </si>
  <si>
    <t>Hydrabad</t>
  </si>
  <si>
    <t>Sumifs to find totals salaries paid to empoyees in sales department in South</t>
  </si>
  <si>
    <t>&gt;5000</t>
  </si>
  <si>
    <t>&lt;10000</t>
  </si>
  <si>
    <t>&lt;10k</t>
  </si>
  <si>
    <t>Beena</t>
  </si>
  <si>
    <t>Mavadia</t>
  </si>
  <si>
    <t>Mktg</t>
  </si>
  <si>
    <t>Delhi</t>
  </si>
  <si>
    <t>&gt;10000</t>
  </si>
  <si>
    <t>&lt;15000</t>
  </si>
  <si>
    <t>&lt;15k</t>
  </si>
  <si>
    <t>Seema</t>
  </si>
  <si>
    <t>Ranganathan</t>
  </si>
  <si>
    <t>R&amp;D</t>
  </si>
  <si>
    <t>Kanpur</t>
  </si>
  <si>
    <t>Countif to find employees earning salaries more than 20,000</t>
  </si>
  <si>
    <t>&gt;15000</t>
  </si>
  <si>
    <t>&lt;20000</t>
  </si>
  <si>
    <t>&lt;20k</t>
  </si>
  <si>
    <t>Julie</t>
  </si>
  <si>
    <t>D'Souza</t>
  </si>
  <si>
    <t>Mathura</t>
  </si>
  <si>
    <t>&gt;20000</t>
  </si>
  <si>
    <t>&gt;20k</t>
  </si>
  <si>
    <t>Deepak</t>
  </si>
  <si>
    <t>Jain</t>
  </si>
  <si>
    <t>Personnel</t>
  </si>
  <si>
    <t>west</t>
  </si>
  <si>
    <t>Pune</t>
  </si>
  <si>
    <t>Countifs to find the number of employees in Marketing with salaries more than 15,000</t>
  </si>
  <si>
    <t>Neena</t>
  </si>
  <si>
    <t>Mukherjee</t>
  </si>
  <si>
    <t>Agra</t>
  </si>
  <si>
    <t>Pankaj</t>
  </si>
  <si>
    <t>Sutradhar</t>
  </si>
  <si>
    <t>Ambala</t>
  </si>
  <si>
    <t>Andre</t>
  </si>
  <si>
    <t>Fernendes</t>
  </si>
  <si>
    <t>Darjeeling</t>
  </si>
  <si>
    <t>Sujay</t>
  </si>
  <si>
    <t>Madhrani</t>
  </si>
  <si>
    <t>Finance</t>
  </si>
  <si>
    <t>Shilpa</t>
  </si>
  <si>
    <t>Lele</t>
  </si>
  <si>
    <t>Jammu</t>
  </si>
  <si>
    <t>Meera</t>
  </si>
  <si>
    <t>Lalwani</t>
  </si>
  <si>
    <t>Calcutta</t>
  </si>
  <si>
    <t>Sheetal</t>
  </si>
  <si>
    <t>Desai</t>
  </si>
  <si>
    <t>Director</t>
  </si>
  <si>
    <t>cochin</t>
  </si>
  <si>
    <t>K. Sita</t>
  </si>
  <si>
    <t>Narayanan</t>
  </si>
  <si>
    <t>Priya</t>
  </si>
  <si>
    <t>Shirodkar</t>
  </si>
  <si>
    <t>Jaipur</t>
  </si>
  <si>
    <t>Aalok</t>
  </si>
  <si>
    <t>Trivedi</t>
  </si>
  <si>
    <t>Aakash</t>
  </si>
  <si>
    <t>Dixit</t>
  </si>
  <si>
    <t>Nasik</t>
  </si>
  <si>
    <t>Parvati</t>
  </si>
  <si>
    <t>Khanna</t>
  </si>
  <si>
    <t>Farhan</t>
  </si>
  <si>
    <t>Sadiq</t>
  </si>
  <si>
    <t>Satinder Kaur</t>
  </si>
  <si>
    <t>Sasan</t>
  </si>
  <si>
    <t>Patna</t>
  </si>
  <si>
    <t>Suchita</t>
  </si>
  <si>
    <t>Panchal</t>
  </si>
  <si>
    <t>Shazia</t>
  </si>
  <si>
    <t>Sheikh</t>
  </si>
  <si>
    <t>Pooja</t>
  </si>
  <si>
    <t>Nimkar</t>
  </si>
  <si>
    <t>Jasbinder</t>
  </si>
  <si>
    <t>Khurana</t>
  </si>
  <si>
    <t>Manglore</t>
  </si>
  <si>
    <t>Bharat</t>
  </si>
  <si>
    <t>Shetty</t>
  </si>
  <si>
    <t>Rishi</t>
  </si>
  <si>
    <t>Malik</t>
  </si>
  <si>
    <t>Banglore</t>
  </si>
  <si>
    <t>Mala</t>
  </si>
  <si>
    <t>Bhaduri</t>
  </si>
  <si>
    <t>Mumbai</t>
  </si>
  <si>
    <t>Hajra</t>
  </si>
  <si>
    <t>Hoonjan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</si>
</sst>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-mmm\-yy"/>
    <numFmt numFmtId="165" formatCode="_([$€-2]\ * #,##0_);_([$€-2]\ * \(#,##0\);_([$€-2]\ * &quot;-&quot;??_);_(@_)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Arial"/>
    </font>
    <font>
      <b/>
      <sz val="11"/>
      <color theme="1"/>
      <name val="Calibri"/>
    </font>
    <font>
      <sz val="11"/>
      <color theme="1"/>
      <name val="Calibri"/>
    </font>
    <font>
      <sz val="10"/>
      <color theme="1"/>
      <name val="Arial"/>
    </font>
    <font>
      <sz val="10"/>
      <color theme="1"/>
      <name val="Calibri"/>
    </font>
    <font>
      <sz val="11"/>
      <name val="Arial"/>
    </font>
    <font>
      <b/>
      <sz val="11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FCC99"/>
        <bgColor rgb="FFFFCC99"/>
      </patternFill>
    </fill>
    <fill>
      <patternFill patternType="solid">
        <fgColor rgb="FFFFFF00"/>
        <bgColor rgb="FFFFFF00"/>
      </patternFill>
    </fill>
    <fill>
      <patternFill patternType="solid">
        <fgColor rgb="FFCCCCFF"/>
        <bgColor rgb="FFCCCCFF"/>
      </patternFill>
    </fill>
  </fills>
  <borders count="2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5" fillId="0" borderId="0"/>
  </cellStyleXfs>
  <cellXfs count="51">
    <xf numFmtId="0" fontId="0" fillId="0" borderId="0" xfId="0"/>
    <xf numFmtId="0" fontId="1" fillId="0" borderId="0" xfId="0" applyFont="1"/>
    <xf numFmtId="164" fontId="2" fillId="2" borderId="3" xfId="0" applyNumberFormat="1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164" fontId="1" fillId="0" borderId="6" xfId="0" applyNumberFormat="1" applyFont="1" applyBorder="1"/>
    <xf numFmtId="0" fontId="1" fillId="0" borderId="7" xfId="0" applyFont="1" applyBorder="1"/>
    <xf numFmtId="165" fontId="1" fillId="0" borderId="8" xfId="0" applyNumberFormat="1" applyFont="1" applyBorder="1"/>
    <xf numFmtId="164" fontId="1" fillId="0" borderId="1" xfId="0" applyNumberFormat="1" applyFont="1" applyBorder="1"/>
    <xf numFmtId="0" fontId="1" fillId="0" borderId="2" xfId="0" applyFont="1" applyBorder="1"/>
    <xf numFmtId="165" fontId="1" fillId="0" borderId="9" xfId="0" applyNumberFormat="1" applyFont="1" applyBorder="1"/>
    <xf numFmtId="14" fontId="0" fillId="0" borderId="0" xfId="0" applyNumberFormat="1"/>
    <xf numFmtId="22" fontId="0" fillId="0" borderId="0" xfId="0" applyNumberFormat="1"/>
    <xf numFmtId="0" fontId="3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3" fillId="0" borderId="1" xfId="0" applyFont="1" applyBorder="1"/>
    <xf numFmtId="0" fontId="4" fillId="0" borderId="2" xfId="0" applyFont="1" applyBorder="1"/>
    <xf numFmtId="0" fontId="4" fillId="0" borderId="9" xfId="0" applyFont="1" applyBorder="1"/>
    <xf numFmtId="0" fontId="3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5" fillId="0" borderId="0" xfId="1" applyFont="1" applyAlignment="1"/>
    <xf numFmtId="0" fontId="7" fillId="0" borderId="0" xfId="1" applyFont="1"/>
    <xf numFmtId="0" fontId="9" fillId="0" borderId="0" xfId="1" applyFont="1"/>
    <xf numFmtId="9" fontId="7" fillId="0" borderId="0" xfId="1" applyNumberFormat="1" applyFont="1"/>
    <xf numFmtId="0" fontId="7" fillId="5" borderId="18" xfId="1" applyFont="1" applyFill="1" applyBorder="1"/>
    <xf numFmtId="0" fontId="8" fillId="5" borderId="19" xfId="1" applyFont="1" applyFill="1" applyBorder="1"/>
    <xf numFmtId="0" fontId="7" fillId="5" borderId="19" xfId="1" applyFont="1" applyFill="1" applyBorder="1"/>
    <xf numFmtId="15" fontId="8" fillId="5" borderId="19" xfId="1" applyNumberFormat="1" applyFont="1" applyFill="1" applyBorder="1"/>
    <xf numFmtId="15" fontId="7" fillId="5" borderId="19" xfId="1" applyNumberFormat="1" applyFont="1" applyFill="1" applyBorder="1"/>
    <xf numFmtId="0" fontId="11" fillId="3" borderId="20" xfId="1" applyFont="1" applyFill="1" applyBorder="1"/>
    <xf numFmtId="0" fontId="11" fillId="3" borderId="21" xfId="1" applyFont="1" applyFill="1" applyBorder="1"/>
    <xf numFmtId="0" fontId="6" fillId="0" borderId="0" xfId="1" applyFont="1"/>
    <xf numFmtId="0" fontId="7" fillId="0" borderId="10" xfId="1" applyFont="1" applyBorder="1"/>
    <xf numFmtId="0" fontId="7" fillId="0" borderId="11" xfId="1" applyFont="1" applyBorder="1"/>
    <xf numFmtId="0" fontId="7" fillId="0" borderId="12" xfId="1" applyFont="1" applyBorder="1"/>
    <xf numFmtId="0" fontId="7" fillId="4" borderId="0" xfId="1" applyFont="1" applyFill="1" applyBorder="1"/>
    <xf numFmtId="0" fontId="7" fillId="0" borderId="1" xfId="1" applyFont="1" applyBorder="1"/>
    <xf numFmtId="0" fontId="7" fillId="0" borderId="2" xfId="1" applyFont="1" applyBorder="1"/>
    <xf numFmtId="0" fontId="7" fillId="0" borderId="9" xfId="1" applyFont="1" applyBorder="1"/>
    <xf numFmtId="0" fontId="9" fillId="0" borderId="0" xfId="1" applyFont="1" applyAlignment="1">
      <alignment wrapText="1"/>
    </xf>
    <xf numFmtId="0" fontId="7" fillId="0" borderId="13" xfId="1" applyFont="1" applyBorder="1"/>
    <xf numFmtId="0" fontId="7" fillId="0" borderId="14" xfId="1" applyFont="1" applyBorder="1"/>
    <xf numFmtId="0" fontId="7" fillId="0" borderId="15" xfId="1" applyFont="1" applyBorder="1"/>
    <xf numFmtId="0" fontId="9" fillId="0" borderId="0" xfId="0" applyFont="1" applyAlignment="1">
      <alignment wrapText="1"/>
    </xf>
    <xf numFmtId="0" fontId="7" fillId="0" borderId="22" xfId="1" applyFont="1" applyBorder="1" applyAlignment="1">
      <alignment horizontal="center"/>
    </xf>
    <xf numFmtId="0" fontId="10" fillId="0" borderId="23" xfId="1" applyFont="1" applyBorder="1"/>
    <xf numFmtId="0" fontId="10" fillId="0" borderId="24" xfId="1" applyFont="1" applyBorder="1"/>
  </cellXfs>
  <cellStyles count="2">
    <cellStyle name="Normal" xfId="0" builtinId="0"/>
    <cellStyle name="Normal 2" xfId="1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S21"/>
  <sheetViews>
    <sheetView tabSelected="1" topLeftCell="A10" workbookViewId="0">
      <selection activeCell="S6" sqref="S6"/>
    </sheetView>
  </sheetViews>
  <sheetFormatPr defaultRowHeight="15" x14ac:dyDescent="0.25"/>
  <cols>
    <col min="1" max="1" width="17.42578125" customWidth="1"/>
    <col min="3" max="3" width="11.140625" customWidth="1"/>
    <col min="10" max="10" width="12.28515625" customWidth="1"/>
  </cols>
  <sheetData>
    <row r="5" spans="1:19" x14ac:dyDescent="0.25">
      <c r="A5" s="1" t="s">
        <v>0</v>
      </c>
      <c r="B5" t="s">
        <v>16</v>
      </c>
      <c r="C5" t="s">
        <v>17</v>
      </c>
      <c r="D5" t="s">
        <v>18</v>
      </c>
      <c r="F5" t="s">
        <v>19</v>
      </c>
      <c r="H5" t="s">
        <v>20</v>
      </c>
      <c r="J5" t="s">
        <v>21</v>
      </c>
      <c r="K5" t="s">
        <v>22</v>
      </c>
      <c r="M5" t="s">
        <v>23</v>
      </c>
      <c r="O5" t="s">
        <v>24</v>
      </c>
      <c r="P5" t="s">
        <v>25</v>
      </c>
      <c r="R5" t="s">
        <v>26</v>
      </c>
      <c r="S5" t="s">
        <v>27</v>
      </c>
    </row>
    <row r="6" spans="1:19" x14ac:dyDescent="0.25">
      <c r="A6" s="1" t="s">
        <v>1</v>
      </c>
      <c r="B6" t="str">
        <f>LEFT(A6, FIND(" ", A6))</f>
        <v xml:space="preserve">Candice </v>
      </c>
      <c r="C6" t="str">
        <f>RIGHT(A6,LEN(A6)-FIND(" ",A6))</f>
        <v>Levy</v>
      </c>
      <c r="D6" t="str">
        <f>UPPER(A6)</f>
        <v>CANDICE LEVY</v>
      </c>
      <c r="F6" t="str">
        <f>LOWER(D6)</f>
        <v>candice levy</v>
      </c>
      <c r="H6" t="str">
        <f>PROPER(A6)</f>
        <v>Candice Levy</v>
      </c>
      <c r="J6">
        <f>SEARCH("Can",$A$6)</f>
        <v>1</v>
      </c>
      <c r="K6" t="str">
        <f>REPLACE(A6, 1,3,"aaa")</f>
        <v>aaadice Levy</v>
      </c>
      <c r="M6" t="str">
        <f>SUBSTITUTE(A6,"Can","Tan")</f>
        <v>Tandice Levy</v>
      </c>
      <c r="O6" t="str">
        <f>MID(A6,2,2)</f>
        <v>an</v>
      </c>
      <c r="P6" t="str">
        <f>INDEX(A6:A20, 4)</f>
        <v>Uriel Benton</v>
      </c>
      <c r="R6">
        <f>MATCH("Uriel Benton",A6:A20,0)</f>
        <v>4</v>
      </c>
      <c r="S6" t="e">
        <f ca="1">unique(A6:A20)</f>
        <v>#NAME?</v>
      </c>
    </row>
    <row r="7" spans="1:19" x14ac:dyDescent="0.25">
      <c r="A7" s="1" t="s">
        <v>2</v>
      </c>
      <c r="B7" t="str">
        <f t="shared" ref="B7:B20" si="0">LEFT(A7, FIND(" ", A7))</f>
        <v xml:space="preserve">Xerxes </v>
      </c>
      <c r="C7" t="str">
        <f t="shared" ref="C7:C20" si="1">RIGHT(A7,LEN(A7)-FIND(" ",A7))</f>
        <v>Smith</v>
      </c>
      <c r="D7" t="str">
        <f t="shared" ref="D7:D20" si="2">UPPER(A7)</f>
        <v>XERXES SMITH</v>
      </c>
      <c r="F7" t="str">
        <f t="shared" ref="F7:F20" si="3">LOWER(D7)</f>
        <v>xerxes smith</v>
      </c>
      <c r="H7" t="str">
        <f t="shared" ref="H7:H20" si="4">PROPER(A7)</f>
        <v>Xerxes Smith</v>
      </c>
      <c r="J7">
        <f t="shared" ref="J7:J19" si="5">SEARCH("Can",$A$6)</f>
        <v>1</v>
      </c>
      <c r="K7" t="str">
        <f t="shared" ref="K7:K20" si="6">REPLACE(A7, 1,2,"aa")</f>
        <v>aarxes Smith</v>
      </c>
      <c r="M7" t="str">
        <f t="shared" ref="M7:M20" si="7">SUBSTITUTE(A7,"Can","Tan")</f>
        <v>Xerxes Smith</v>
      </c>
      <c r="O7" t="str">
        <f t="shared" ref="O7:O20" si="8">MID(A7,2,2)</f>
        <v>er</v>
      </c>
      <c r="P7" t="str">
        <f t="shared" ref="P7:P20" si="9">INDEX(A7:A21, 4)</f>
        <v>Celeste Pugh</v>
      </c>
      <c r="R7">
        <f t="shared" ref="R7:R21" si="10">MATCH("Uriel Benton",A7:A21,0)</f>
        <v>3</v>
      </c>
    </row>
    <row r="8" spans="1:19" x14ac:dyDescent="0.25">
      <c r="A8" s="1" t="s">
        <v>3</v>
      </c>
      <c r="B8" t="str">
        <f t="shared" si="0"/>
        <v xml:space="preserve">Levi </v>
      </c>
      <c r="C8" t="str">
        <f t="shared" si="1"/>
        <v>Douglas</v>
      </c>
      <c r="D8" t="str">
        <f t="shared" si="2"/>
        <v>LEVI DOUGLAS</v>
      </c>
      <c r="F8" t="str">
        <f t="shared" si="3"/>
        <v>levi douglas</v>
      </c>
      <c r="H8" t="str">
        <f t="shared" si="4"/>
        <v>Levi Douglas</v>
      </c>
      <c r="J8">
        <f t="shared" si="5"/>
        <v>1</v>
      </c>
      <c r="K8" t="str">
        <f t="shared" si="6"/>
        <v>aavi Douglas</v>
      </c>
      <c r="M8" t="str">
        <f t="shared" si="7"/>
        <v>Levi Douglas</v>
      </c>
      <c r="O8" t="str">
        <f t="shared" si="8"/>
        <v>ev</v>
      </c>
      <c r="P8" t="str">
        <f t="shared" si="9"/>
        <v>Vance Campos</v>
      </c>
      <c r="R8">
        <f t="shared" si="10"/>
        <v>2</v>
      </c>
    </row>
    <row r="9" spans="1:19" x14ac:dyDescent="0.25">
      <c r="A9" s="1" t="s">
        <v>4</v>
      </c>
      <c r="B9" t="str">
        <f t="shared" si="0"/>
        <v xml:space="preserve">Uriel </v>
      </c>
      <c r="C9" t="str">
        <f t="shared" si="1"/>
        <v>Benton</v>
      </c>
      <c r="D9" t="str">
        <f t="shared" si="2"/>
        <v>URIEL BENTON</v>
      </c>
      <c r="F9" t="str">
        <f t="shared" si="3"/>
        <v>uriel benton</v>
      </c>
      <c r="H9" t="str">
        <f t="shared" si="4"/>
        <v>Uriel Benton</v>
      </c>
      <c r="J9">
        <f t="shared" si="5"/>
        <v>1</v>
      </c>
      <c r="K9" t="str">
        <f t="shared" si="6"/>
        <v>aaiel Benton</v>
      </c>
      <c r="M9" t="str">
        <f t="shared" si="7"/>
        <v>Uriel Benton</v>
      </c>
      <c r="O9" t="str">
        <f t="shared" si="8"/>
        <v>ri</v>
      </c>
      <c r="P9" t="str">
        <f t="shared" si="9"/>
        <v>Latifah Wall</v>
      </c>
      <c r="R9">
        <f t="shared" si="10"/>
        <v>1</v>
      </c>
    </row>
    <row r="10" spans="1:19" x14ac:dyDescent="0.25">
      <c r="A10" s="1" t="s">
        <v>5</v>
      </c>
      <c r="B10" t="str">
        <f t="shared" si="0"/>
        <v xml:space="preserve">Celeste </v>
      </c>
      <c r="C10" t="str">
        <f t="shared" si="1"/>
        <v>Pugh</v>
      </c>
      <c r="D10" t="str">
        <f t="shared" si="2"/>
        <v>CELESTE PUGH</v>
      </c>
      <c r="F10" t="str">
        <f t="shared" si="3"/>
        <v>celeste pugh</v>
      </c>
      <c r="H10" t="str">
        <f t="shared" si="4"/>
        <v>Celeste Pugh</v>
      </c>
      <c r="J10">
        <f t="shared" si="5"/>
        <v>1</v>
      </c>
      <c r="K10" t="str">
        <f t="shared" si="6"/>
        <v>aaleste Pugh</v>
      </c>
      <c r="M10" t="str">
        <f t="shared" si="7"/>
        <v>Celeste Pugh</v>
      </c>
      <c r="O10" t="str">
        <f t="shared" si="8"/>
        <v>el</v>
      </c>
      <c r="P10" t="str">
        <f t="shared" si="9"/>
        <v>Jane Hernandez</v>
      </c>
      <c r="R10" t="e">
        <f t="shared" si="10"/>
        <v>#N/A</v>
      </c>
    </row>
    <row r="11" spans="1:19" x14ac:dyDescent="0.25">
      <c r="A11" s="1" t="s">
        <v>6</v>
      </c>
      <c r="B11" t="str">
        <f t="shared" si="0"/>
        <v xml:space="preserve">Vance </v>
      </c>
      <c r="C11" t="str">
        <f t="shared" si="1"/>
        <v>Campos</v>
      </c>
      <c r="D11" t="str">
        <f t="shared" si="2"/>
        <v>VANCE CAMPOS</v>
      </c>
      <c r="F11" t="str">
        <f t="shared" si="3"/>
        <v>vance campos</v>
      </c>
      <c r="H11" t="str">
        <f t="shared" si="4"/>
        <v>Vance Campos</v>
      </c>
      <c r="J11">
        <f t="shared" si="5"/>
        <v>1</v>
      </c>
      <c r="K11" t="str">
        <f t="shared" si="6"/>
        <v>aance Campos</v>
      </c>
      <c r="M11" t="str">
        <f t="shared" si="7"/>
        <v>Vance Campos</v>
      </c>
      <c r="O11" t="str">
        <f t="shared" si="8"/>
        <v>an</v>
      </c>
      <c r="P11" t="str">
        <f t="shared" si="9"/>
        <v>Wanda Garza</v>
      </c>
      <c r="R11" t="e">
        <f t="shared" si="10"/>
        <v>#N/A</v>
      </c>
    </row>
    <row r="12" spans="1:19" x14ac:dyDescent="0.25">
      <c r="A12" s="1" t="s">
        <v>7</v>
      </c>
      <c r="B12" t="str">
        <f t="shared" si="0"/>
        <v xml:space="preserve">Latifah </v>
      </c>
      <c r="C12" t="str">
        <f t="shared" si="1"/>
        <v>Wall</v>
      </c>
      <c r="D12" t="str">
        <f t="shared" si="2"/>
        <v>LATIFAH WALL</v>
      </c>
      <c r="F12" t="str">
        <f t="shared" si="3"/>
        <v>latifah wall</v>
      </c>
      <c r="H12" t="str">
        <f t="shared" si="4"/>
        <v>Latifah Wall</v>
      </c>
      <c r="J12">
        <f t="shared" si="5"/>
        <v>1</v>
      </c>
      <c r="K12" t="str">
        <f t="shared" si="6"/>
        <v>aatifah Wall</v>
      </c>
      <c r="M12" t="str">
        <f t="shared" si="7"/>
        <v>Latifah Wall</v>
      </c>
      <c r="O12" t="str">
        <f t="shared" si="8"/>
        <v>at</v>
      </c>
      <c r="P12" t="str">
        <f t="shared" si="9"/>
        <v>Athena Fitzpatrick</v>
      </c>
      <c r="R12" t="e">
        <f t="shared" si="10"/>
        <v>#N/A</v>
      </c>
    </row>
    <row r="13" spans="1:19" x14ac:dyDescent="0.25">
      <c r="A13" s="1" t="s">
        <v>8</v>
      </c>
      <c r="B13" t="str">
        <f t="shared" si="0"/>
        <v xml:space="preserve">Jane </v>
      </c>
      <c r="C13" t="str">
        <f t="shared" si="1"/>
        <v>Hernandez</v>
      </c>
      <c r="D13" t="str">
        <f t="shared" si="2"/>
        <v>JANE HERNANDEZ</v>
      </c>
      <c r="F13" t="str">
        <f t="shared" si="3"/>
        <v>jane hernandez</v>
      </c>
      <c r="H13" t="str">
        <f t="shared" si="4"/>
        <v>Jane Hernandez</v>
      </c>
      <c r="J13">
        <f t="shared" si="5"/>
        <v>1</v>
      </c>
      <c r="K13" t="str">
        <f t="shared" si="6"/>
        <v>aane Hernandez</v>
      </c>
      <c r="M13" t="str">
        <f t="shared" si="7"/>
        <v>Jane Hernandez</v>
      </c>
      <c r="O13" t="str">
        <f t="shared" si="8"/>
        <v>an</v>
      </c>
      <c r="P13" t="str">
        <f t="shared" si="9"/>
        <v>Anjolie Hicks</v>
      </c>
      <c r="R13" t="e">
        <f t="shared" si="10"/>
        <v>#N/A</v>
      </c>
    </row>
    <row r="14" spans="1:19" x14ac:dyDescent="0.25">
      <c r="A14" s="1" t="s">
        <v>9</v>
      </c>
      <c r="B14" t="str">
        <f t="shared" si="0"/>
        <v xml:space="preserve">Wanda </v>
      </c>
      <c r="C14" t="str">
        <f t="shared" si="1"/>
        <v>Garza</v>
      </c>
      <c r="D14" t="str">
        <f t="shared" si="2"/>
        <v>WANDA GARZA</v>
      </c>
      <c r="F14" t="str">
        <f t="shared" si="3"/>
        <v>wanda garza</v>
      </c>
      <c r="H14" t="str">
        <f t="shared" si="4"/>
        <v>Wanda Garza</v>
      </c>
      <c r="J14">
        <f t="shared" si="5"/>
        <v>1</v>
      </c>
      <c r="K14" t="str">
        <f t="shared" si="6"/>
        <v>aanda Garza</v>
      </c>
      <c r="M14" t="str">
        <f t="shared" si="7"/>
        <v>Wanda Garza</v>
      </c>
      <c r="O14" t="str">
        <f t="shared" si="8"/>
        <v>an</v>
      </c>
      <c r="P14" t="str">
        <f t="shared" si="9"/>
        <v>Isaac Cooper</v>
      </c>
      <c r="R14" t="e">
        <f t="shared" si="10"/>
        <v>#N/A</v>
      </c>
    </row>
    <row r="15" spans="1:19" x14ac:dyDescent="0.25">
      <c r="A15" s="1" t="s">
        <v>10</v>
      </c>
      <c r="B15" t="str">
        <f t="shared" si="0"/>
        <v xml:space="preserve">Athena </v>
      </c>
      <c r="C15" t="str">
        <f t="shared" si="1"/>
        <v>Fitzpatrick</v>
      </c>
      <c r="D15" t="str">
        <f t="shared" si="2"/>
        <v>ATHENA FITZPATRICK</v>
      </c>
      <c r="F15" t="str">
        <f t="shared" si="3"/>
        <v>athena fitzpatrick</v>
      </c>
      <c r="H15" t="str">
        <f t="shared" si="4"/>
        <v>Athena Fitzpatrick</v>
      </c>
      <c r="J15">
        <f t="shared" si="5"/>
        <v>1</v>
      </c>
      <c r="K15" t="str">
        <f t="shared" si="6"/>
        <v>aahena Fitzpatrick</v>
      </c>
      <c r="M15" t="str">
        <f t="shared" si="7"/>
        <v>Athena Fitzpatrick</v>
      </c>
      <c r="O15" t="str">
        <f t="shared" si="8"/>
        <v>th</v>
      </c>
      <c r="P15" t="str">
        <f t="shared" si="9"/>
        <v>Asher Weber</v>
      </c>
      <c r="R15" t="e">
        <f t="shared" si="10"/>
        <v>#N/A</v>
      </c>
    </row>
    <row r="16" spans="1:19" x14ac:dyDescent="0.25">
      <c r="A16" s="1" t="s">
        <v>11</v>
      </c>
      <c r="B16" t="str">
        <f t="shared" si="0"/>
        <v xml:space="preserve">Anjolie </v>
      </c>
      <c r="C16" t="str">
        <f t="shared" si="1"/>
        <v>Hicks</v>
      </c>
      <c r="D16" t="str">
        <f t="shared" si="2"/>
        <v>ANJOLIE HICKS</v>
      </c>
      <c r="F16" t="str">
        <f t="shared" si="3"/>
        <v>anjolie hicks</v>
      </c>
      <c r="H16" t="str">
        <f t="shared" si="4"/>
        <v>Anjolie Hicks</v>
      </c>
      <c r="J16">
        <f t="shared" si="5"/>
        <v>1</v>
      </c>
      <c r="K16" t="str">
        <f t="shared" si="6"/>
        <v>aajolie Hicks</v>
      </c>
      <c r="M16" t="str">
        <f t="shared" si="7"/>
        <v>Anjolie Hicks</v>
      </c>
      <c r="O16" t="str">
        <f t="shared" si="8"/>
        <v>nj</v>
      </c>
      <c r="P16" t="str">
        <f t="shared" si="9"/>
        <v>Ethan Gregory</v>
      </c>
      <c r="R16" t="e">
        <f t="shared" si="10"/>
        <v>#N/A</v>
      </c>
    </row>
    <row r="17" spans="1:18" x14ac:dyDescent="0.25">
      <c r="A17" s="1" t="s">
        <v>12</v>
      </c>
      <c r="B17" t="str">
        <f t="shared" si="0"/>
        <v xml:space="preserve">Isaac </v>
      </c>
      <c r="C17" t="str">
        <f t="shared" si="1"/>
        <v>Cooper</v>
      </c>
      <c r="D17" t="str">
        <f t="shared" si="2"/>
        <v>ISAAC COOPER</v>
      </c>
      <c r="F17" t="str">
        <f t="shared" si="3"/>
        <v>isaac cooper</v>
      </c>
      <c r="H17" t="str">
        <f t="shared" si="4"/>
        <v>Isaac Cooper</v>
      </c>
      <c r="J17">
        <f t="shared" si="5"/>
        <v>1</v>
      </c>
      <c r="K17" t="str">
        <f t="shared" si="6"/>
        <v>aaaac Cooper</v>
      </c>
      <c r="M17" t="str">
        <f t="shared" si="7"/>
        <v>Isaac Cooper</v>
      </c>
      <c r="O17" t="str">
        <f t="shared" si="8"/>
        <v>sa</v>
      </c>
      <c r="P17" t="str">
        <f t="shared" si="9"/>
        <v>Hayes Rollins</v>
      </c>
      <c r="R17" t="e">
        <f t="shared" si="10"/>
        <v>#N/A</v>
      </c>
    </row>
    <row r="18" spans="1:18" x14ac:dyDescent="0.25">
      <c r="A18" s="1" t="s">
        <v>13</v>
      </c>
      <c r="B18" t="str">
        <f t="shared" si="0"/>
        <v xml:space="preserve">Asher </v>
      </c>
      <c r="C18" t="str">
        <f t="shared" si="1"/>
        <v>Weber</v>
      </c>
      <c r="D18" t="str">
        <f t="shared" si="2"/>
        <v>ASHER WEBER</v>
      </c>
      <c r="F18" t="str">
        <f t="shared" si="3"/>
        <v>asher weber</v>
      </c>
      <c r="H18" t="str">
        <f t="shared" si="4"/>
        <v>Asher Weber</v>
      </c>
      <c r="J18">
        <f t="shared" si="5"/>
        <v>1</v>
      </c>
      <c r="K18" t="str">
        <f t="shared" si="6"/>
        <v>aaher Weber</v>
      </c>
      <c r="M18" t="str">
        <f t="shared" si="7"/>
        <v>Asher Weber</v>
      </c>
      <c r="O18" t="str">
        <f t="shared" si="8"/>
        <v>sh</v>
      </c>
      <c r="P18">
        <f t="shared" si="9"/>
        <v>0</v>
      </c>
      <c r="R18" t="e">
        <f t="shared" si="10"/>
        <v>#N/A</v>
      </c>
    </row>
    <row r="19" spans="1:18" x14ac:dyDescent="0.25">
      <c r="A19" s="1" t="s">
        <v>14</v>
      </c>
      <c r="B19" t="str">
        <f t="shared" si="0"/>
        <v xml:space="preserve">Ethan </v>
      </c>
      <c r="C19" t="str">
        <f t="shared" si="1"/>
        <v>Gregory</v>
      </c>
      <c r="D19" t="str">
        <f t="shared" si="2"/>
        <v>ETHAN GREGORY</v>
      </c>
      <c r="F19" t="str">
        <f t="shared" si="3"/>
        <v>ethan gregory</v>
      </c>
      <c r="H19" t="str">
        <f t="shared" si="4"/>
        <v>Ethan Gregory</v>
      </c>
      <c r="J19">
        <f t="shared" si="5"/>
        <v>1</v>
      </c>
      <c r="K19" t="str">
        <f t="shared" si="6"/>
        <v>aahan Gregory</v>
      </c>
      <c r="M19" t="str">
        <f t="shared" si="7"/>
        <v>Ethan Gregory</v>
      </c>
      <c r="O19" t="str">
        <f t="shared" si="8"/>
        <v>th</v>
      </c>
      <c r="P19">
        <f t="shared" si="9"/>
        <v>0</v>
      </c>
      <c r="R19" t="e">
        <f t="shared" si="10"/>
        <v>#N/A</v>
      </c>
    </row>
    <row r="20" spans="1:18" x14ac:dyDescent="0.25">
      <c r="A20" s="1" t="s">
        <v>15</v>
      </c>
      <c r="B20" t="str">
        <f t="shared" si="0"/>
        <v xml:space="preserve">Hayes </v>
      </c>
      <c r="C20" t="str">
        <f t="shared" si="1"/>
        <v>Rollins</v>
      </c>
      <c r="D20" t="str">
        <f t="shared" si="2"/>
        <v>HAYES ROLLINS</v>
      </c>
      <c r="F20" t="str">
        <f t="shared" si="3"/>
        <v>hayes rollins</v>
      </c>
      <c r="H20" t="str">
        <f t="shared" si="4"/>
        <v>Hayes Rollins</v>
      </c>
      <c r="K20" t="str">
        <f t="shared" si="6"/>
        <v>aayes Rollins</v>
      </c>
      <c r="M20" t="str">
        <f t="shared" si="7"/>
        <v>Hayes Rollins</v>
      </c>
      <c r="O20" t="str">
        <f t="shared" si="8"/>
        <v>ay</v>
      </c>
      <c r="P20">
        <f t="shared" si="9"/>
        <v>0</v>
      </c>
      <c r="R20" t="e">
        <f t="shared" si="10"/>
        <v>#N/A</v>
      </c>
    </row>
    <row r="21" spans="1:18" x14ac:dyDescent="0.25">
      <c r="R21" t="e">
        <f t="shared" si="10"/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20"/>
  <sheetViews>
    <sheetView workbookViewId="0">
      <selection activeCell="A5" sqref="A5:A20"/>
    </sheetView>
  </sheetViews>
  <sheetFormatPr defaultRowHeight="15" x14ac:dyDescent="0.25"/>
  <cols>
    <col min="2" max="2" width="11.42578125" customWidth="1"/>
    <col min="3" max="3" width="17.140625" customWidth="1"/>
    <col min="4" max="4" width="14.140625" customWidth="1"/>
    <col min="5" max="5" width="12.7109375" customWidth="1"/>
    <col min="8" max="8" width="13.5703125" customWidth="1"/>
  </cols>
  <sheetData>
    <row r="3" spans="1:8" ht="15.75" thickBot="1" x14ac:dyDescent="0.3"/>
    <row r="4" spans="1:8" ht="15.75" thickBot="1" x14ac:dyDescent="0.3">
      <c r="A4" s="2" t="s">
        <v>28</v>
      </c>
      <c r="B4" s="3" t="s">
        <v>29</v>
      </c>
      <c r="C4" s="3" t="s">
        <v>0</v>
      </c>
      <c r="D4" s="3" t="s">
        <v>30</v>
      </c>
      <c r="E4" s="3" t="s">
        <v>31</v>
      </c>
      <c r="F4" s="3" t="s">
        <v>32</v>
      </c>
      <c r="G4" s="3" t="s">
        <v>33</v>
      </c>
      <c r="H4" s="4" t="s">
        <v>34</v>
      </c>
    </row>
    <row r="5" spans="1:8" x14ac:dyDescent="0.25">
      <c r="A5" s="5">
        <v>42956</v>
      </c>
      <c r="B5" s="6">
        <v>1001</v>
      </c>
      <c r="C5" s="6" t="s">
        <v>1</v>
      </c>
      <c r="D5" s="6" t="s">
        <v>35</v>
      </c>
      <c r="E5" s="6" t="s">
        <v>36</v>
      </c>
      <c r="F5" s="6" t="s">
        <v>37</v>
      </c>
      <c r="G5" s="6">
        <v>117</v>
      </c>
      <c r="H5" s="7">
        <v>173063</v>
      </c>
    </row>
    <row r="6" spans="1:8" x14ac:dyDescent="0.25">
      <c r="A6" s="8">
        <v>42922</v>
      </c>
      <c r="B6" s="9">
        <v>1002</v>
      </c>
      <c r="C6" s="9" t="s">
        <v>2</v>
      </c>
      <c r="D6" s="9" t="s">
        <v>38</v>
      </c>
      <c r="E6" s="9" t="s">
        <v>39</v>
      </c>
      <c r="F6" s="9" t="s">
        <v>37</v>
      </c>
      <c r="G6" s="9">
        <v>73</v>
      </c>
      <c r="H6" s="10">
        <v>164099</v>
      </c>
    </row>
    <row r="7" spans="1:8" x14ac:dyDescent="0.25">
      <c r="A7" s="8">
        <v>42965</v>
      </c>
      <c r="B7" s="9">
        <v>1003</v>
      </c>
      <c r="C7" s="9" t="s">
        <v>3</v>
      </c>
      <c r="D7" s="9" t="s">
        <v>40</v>
      </c>
      <c r="E7" s="9" t="s">
        <v>41</v>
      </c>
      <c r="F7" s="9" t="s">
        <v>42</v>
      </c>
      <c r="G7" s="9">
        <v>205</v>
      </c>
      <c r="H7" s="10">
        <v>145904</v>
      </c>
    </row>
    <row r="8" spans="1:8" x14ac:dyDescent="0.25">
      <c r="A8" s="8">
        <v>42952</v>
      </c>
      <c r="B8" s="9">
        <v>1004</v>
      </c>
      <c r="C8" s="9" t="s">
        <v>4</v>
      </c>
      <c r="D8" s="9" t="s">
        <v>43</v>
      </c>
      <c r="E8" s="9" t="s">
        <v>44</v>
      </c>
      <c r="F8" s="9" t="s">
        <v>42</v>
      </c>
      <c r="G8" s="9">
        <v>14</v>
      </c>
      <c r="H8" s="10">
        <v>145970</v>
      </c>
    </row>
    <row r="9" spans="1:8" x14ac:dyDescent="0.25">
      <c r="A9" s="8">
        <v>42959</v>
      </c>
      <c r="B9" s="9">
        <v>1005</v>
      </c>
      <c r="C9" s="9" t="s">
        <v>5</v>
      </c>
      <c r="D9" s="9" t="s">
        <v>45</v>
      </c>
      <c r="E9" s="9" t="s">
        <v>46</v>
      </c>
      <c r="F9" s="9" t="s">
        <v>37</v>
      </c>
      <c r="G9" s="9">
        <v>170</v>
      </c>
      <c r="H9" s="10">
        <v>111603</v>
      </c>
    </row>
    <row r="10" spans="1:8" x14ac:dyDescent="0.25">
      <c r="A10" s="8">
        <v>42928</v>
      </c>
      <c r="B10" s="9">
        <v>1006</v>
      </c>
      <c r="C10" s="9" t="s">
        <v>6</v>
      </c>
      <c r="D10" s="9" t="s">
        <v>47</v>
      </c>
      <c r="E10" s="9" t="s">
        <v>48</v>
      </c>
      <c r="F10" s="9" t="s">
        <v>42</v>
      </c>
      <c r="G10" s="9">
        <v>129</v>
      </c>
      <c r="H10" s="10">
        <v>151208</v>
      </c>
    </row>
    <row r="11" spans="1:8" x14ac:dyDescent="0.25">
      <c r="A11" s="8">
        <v>42928</v>
      </c>
      <c r="B11" s="9">
        <v>1007</v>
      </c>
      <c r="C11" s="9" t="s">
        <v>7</v>
      </c>
      <c r="D11" s="9" t="s">
        <v>49</v>
      </c>
      <c r="E11" s="9" t="s">
        <v>50</v>
      </c>
      <c r="F11" s="9" t="s">
        <v>42</v>
      </c>
      <c r="G11" s="9">
        <v>82</v>
      </c>
      <c r="H11" s="10">
        <v>176060</v>
      </c>
    </row>
    <row r="12" spans="1:8" x14ac:dyDescent="0.25">
      <c r="A12" s="8">
        <v>42889</v>
      </c>
      <c r="B12" s="9">
        <v>1008</v>
      </c>
      <c r="C12" s="9" t="s">
        <v>8</v>
      </c>
      <c r="D12" s="9" t="s">
        <v>51</v>
      </c>
      <c r="E12" s="9" t="s">
        <v>48</v>
      </c>
      <c r="F12" s="9" t="s">
        <v>52</v>
      </c>
      <c r="G12" s="9">
        <v>116</v>
      </c>
      <c r="H12" s="10">
        <v>134209</v>
      </c>
    </row>
    <row r="13" spans="1:8" x14ac:dyDescent="0.25">
      <c r="A13" s="8">
        <v>42893</v>
      </c>
      <c r="B13" s="9">
        <v>1009</v>
      </c>
      <c r="C13" s="9" t="s">
        <v>9</v>
      </c>
      <c r="D13" s="9" t="s">
        <v>53</v>
      </c>
      <c r="E13" s="9" t="s">
        <v>54</v>
      </c>
      <c r="F13" s="9" t="s">
        <v>37</v>
      </c>
      <c r="G13" s="9">
        <v>67</v>
      </c>
      <c r="H13" s="10">
        <v>175794</v>
      </c>
    </row>
    <row r="14" spans="1:8" x14ac:dyDescent="0.25">
      <c r="A14" s="8">
        <v>42943</v>
      </c>
      <c r="B14" s="9">
        <v>1010</v>
      </c>
      <c r="C14" s="9" t="s">
        <v>10</v>
      </c>
      <c r="D14" s="9" t="s">
        <v>55</v>
      </c>
      <c r="E14" s="9" t="s">
        <v>54</v>
      </c>
      <c r="F14" s="9" t="s">
        <v>37</v>
      </c>
      <c r="G14" s="9">
        <v>125</v>
      </c>
      <c r="H14" s="10">
        <v>126194</v>
      </c>
    </row>
    <row r="15" spans="1:8" x14ac:dyDescent="0.25">
      <c r="A15" s="8">
        <v>42923</v>
      </c>
      <c r="B15" s="9">
        <v>1011</v>
      </c>
      <c r="C15" s="9" t="s">
        <v>11</v>
      </c>
      <c r="D15" s="9" t="s">
        <v>56</v>
      </c>
      <c r="E15" s="9" t="s">
        <v>39</v>
      </c>
      <c r="F15" s="9" t="s">
        <v>42</v>
      </c>
      <c r="G15" s="9">
        <v>71</v>
      </c>
      <c r="H15" s="10">
        <v>118587</v>
      </c>
    </row>
    <row r="16" spans="1:8" x14ac:dyDescent="0.25">
      <c r="A16" s="8">
        <v>42960</v>
      </c>
      <c r="B16" s="9">
        <v>1012</v>
      </c>
      <c r="C16" s="9" t="s">
        <v>12</v>
      </c>
      <c r="D16" s="9" t="s">
        <v>57</v>
      </c>
      <c r="E16" s="9" t="s">
        <v>44</v>
      </c>
      <c r="F16" s="9" t="s">
        <v>42</v>
      </c>
      <c r="G16" s="9">
        <v>22</v>
      </c>
      <c r="H16" s="10">
        <v>159523</v>
      </c>
    </row>
    <row r="17" spans="1:8" x14ac:dyDescent="0.25">
      <c r="A17" s="8">
        <v>42969</v>
      </c>
      <c r="B17" s="9">
        <v>1013</v>
      </c>
      <c r="C17" s="9" t="s">
        <v>13</v>
      </c>
      <c r="D17" s="9" t="s">
        <v>51</v>
      </c>
      <c r="E17" s="9" t="s">
        <v>48</v>
      </c>
      <c r="F17" s="9" t="s">
        <v>37</v>
      </c>
      <c r="G17" s="9">
        <v>153</v>
      </c>
      <c r="H17" s="10">
        <v>127859</v>
      </c>
    </row>
    <row r="18" spans="1:8" x14ac:dyDescent="0.25">
      <c r="A18" s="8">
        <v>42920</v>
      </c>
      <c r="B18" s="9">
        <v>1014</v>
      </c>
      <c r="C18" s="9" t="s">
        <v>14</v>
      </c>
      <c r="D18" s="9" t="s">
        <v>58</v>
      </c>
      <c r="E18" s="9" t="s">
        <v>41</v>
      </c>
      <c r="F18" s="9" t="s">
        <v>42</v>
      </c>
      <c r="G18" s="9">
        <v>141</v>
      </c>
      <c r="H18" s="10">
        <v>187006</v>
      </c>
    </row>
    <row r="19" spans="1:8" x14ac:dyDescent="0.25">
      <c r="A19" s="8">
        <v>42949</v>
      </c>
      <c r="B19" s="9">
        <v>1015</v>
      </c>
      <c r="C19" s="9" t="s">
        <v>15</v>
      </c>
      <c r="D19" s="9" t="s">
        <v>59</v>
      </c>
      <c r="E19" s="9" t="s">
        <v>60</v>
      </c>
      <c r="F19" s="9" t="s">
        <v>37</v>
      </c>
      <c r="G19" s="9">
        <v>65</v>
      </c>
      <c r="H19" s="10">
        <v>118909</v>
      </c>
    </row>
    <row r="20" spans="1:8" x14ac:dyDescent="0.25">
      <c r="A20" s="8">
        <v>42928</v>
      </c>
      <c r="B20" s="9">
        <v>1016</v>
      </c>
      <c r="C20" s="9" t="s">
        <v>61</v>
      </c>
      <c r="D20" s="9" t="s">
        <v>62</v>
      </c>
      <c r="E20" s="9" t="s">
        <v>36</v>
      </c>
      <c r="F20" s="9" t="s">
        <v>37</v>
      </c>
      <c r="G20" s="9">
        <v>157</v>
      </c>
      <c r="H20" s="10">
        <v>197910</v>
      </c>
    </row>
  </sheetData>
  <conditionalFormatting sqref="A4:H20">
    <cfRule type="uniqueValues" dxfId="13" priority="1"/>
    <cfRule type="duplicateValues" dxfId="12" priority="2"/>
    <cfRule type="uniqueValues" dxfId="11" priority="3"/>
    <cfRule type="uniqueValues" dxfId="10" priority="4"/>
    <cfRule type="duplicateValues" dxfId="9" priority="5"/>
    <cfRule type="duplicateValues" dxfId="8" priority="6"/>
    <cfRule type="uniqueValues" dxfId="7" priority="7"/>
    <cfRule type="duplicateValues" dxfId="6" priority="8"/>
    <cfRule type="uniqueValues" dxfId="5" priority="9"/>
    <cfRule type="duplicateValues" dxfId="4" priority="10"/>
    <cfRule type="uniqueValues" dxfId="3" priority="11"/>
    <cfRule type="duplicateValues" dxfId="2" priority="12"/>
    <cfRule type="duplicateValues" dxfId="1" priority="13"/>
    <cfRule type="uniqueValues" dxfId="0" priority="14"/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H5"/>
  <sheetViews>
    <sheetView workbookViewId="0">
      <selection activeCell="H5" sqref="H5"/>
    </sheetView>
  </sheetViews>
  <sheetFormatPr defaultRowHeight="15" x14ac:dyDescent="0.25"/>
  <cols>
    <col min="2" max="3" width="10.42578125" bestFit="1" customWidth="1"/>
    <col min="4" max="4" width="18.5703125" customWidth="1"/>
  </cols>
  <sheetData>
    <row r="5" spans="2:8" x14ac:dyDescent="0.25">
      <c r="B5" s="11">
        <v>44928</v>
      </c>
      <c r="C5" s="11">
        <f ca="1">TODAY()</f>
        <v>45727</v>
      </c>
      <c r="D5" s="12">
        <f ca="1">NOW()</f>
        <v>45727.529026388889</v>
      </c>
      <c r="E5">
        <f ca="1">YEAR(C5)</f>
        <v>2025</v>
      </c>
      <c r="F5">
        <f ca="1">MONTH(C5)</f>
        <v>3</v>
      </c>
      <c r="G5">
        <f ca="1">NETWORKDAYS(B5,C5)</f>
        <v>572</v>
      </c>
      <c r="H5">
        <f ca="1">EOMONTH(C5,1)</f>
        <v>45777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7"/>
  <sheetViews>
    <sheetView workbookViewId="0">
      <selection activeCell="C10" sqref="C10"/>
    </sheetView>
  </sheetViews>
  <sheetFormatPr defaultRowHeight="15" x14ac:dyDescent="0.25"/>
  <sheetData>
    <row r="3" spans="2:10" ht="15.75" thickBot="1" x14ac:dyDescent="0.3"/>
    <row r="4" spans="2:10" ht="15.75" x14ac:dyDescent="0.25">
      <c r="B4" s="13" t="s">
        <v>63</v>
      </c>
      <c r="C4" s="14" t="s">
        <v>64</v>
      </c>
      <c r="D4" s="14" t="s">
        <v>65</v>
      </c>
      <c r="E4" s="14" t="s">
        <v>66</v>
      </c>
      <c r="F4" s="14" t="s">
        <v>67</v>
      </c>
      <c r="G4" s="14" t="s">
        <v>68</v>
      </c>
      <c r="H4" s="14" t="s">
        <v>69</v>
      </c>
      <c r="I4" s="14" t="s">
        <v>70</v>
      </c>
      <c r="J4" s="15" t="s">
        <v>71</v>
      </c>
    </row>
    <row r="5" spans="2:10" ht="15.75" x14ac:dyDescent="0.25">
      <c r="B5" s="16" t="s">
        <v>72</v>
      </c>
      <c r="C5" s="17">
        <v>66</v>
      </c>
      <c r="D5" s="17">
        <v>71</v>
      </c>
      <c r="E5" s="17">
        <v>56</v>
      </c>
      <c r="F5" s="17">
        <v>89</v>
      </c>
      <c r="G5" s="17">
        <v>65</v>
      </c>
      <c r="H5" s="17">
        <v>42</v>
      </c>
      <c r="I5" s="17">
        <v>56</v>
      </c>
      <c r="J5" s="18">
        <v>78</v>
      </c>
    </row>
    <row r="6" spans="2:10" ht="15.75" x14ac:dyDescent="0.25">
      <c r="B6" s="16" t="s">
        <v>73</v>
      </c>
      <c r="C6" s="17">
        <v>87</v>
      </c>
      <c r="D6" s="17">
        <v>52</v>
      </c>
      <c r="E6" s="17">
        <v>68</v>
      </c>
      <c r="F6" s="17">
        <v>32</v>
      </c>
      <c r="G6" s="17">
        <v>72</v>
      </c>
      <c r="H6" s="17">
        <v>60</v>
      </c>
      <c r="I6" s="17">
        <v>61</v>
      </c>
      <c r="J6" s="18">
        <v>49</v>
      </c>
    </row>
    <row r="7" spans="2:10" ht="16.5" thickBot="1" x14ac:dyDescent="0.3">
      <c r="B7" s="19" t="s">
        <v>74</v>
      </c>
      <c r="C7" s="20">
        <v>79</v>
      </c>
      <c r="D7" s="20">
        <v>40</v>
      </c>
      <c r="E7" s="20">
        <v>61</v>
      </c>
      <c r="F7" s="20">
        <v>56</v>
      </c>
      <c r="G7" s="20">
        <v>66</v>
      </c>
      <c r="H7" s="20">
        <v>71</v>
      </c>
      <c r="I7" s="20">
        <v>56</v>
      </c>
      <c r="J7" s="21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7"/>
  <sheetViews>
    <sheetView workbookViewId="0">
      <selection activeCell="D5" sqref="D5"/>
    </sheetView>
  </sheetViews>
  <sheetFormatPr defaultRowHeight="15" x14ac:dyDescent="0.25"/>
  <cols>
    <col min="2" max="4" width="19.5703125" customWidth="1"/>
  </cols>
  <sheetData>
    <row r="1" spans="2:12" x14ac:dyDescent="0.25">
      <c r="D1" t="s">
        <v>77</v>
      </c>
      <c r="E1">
        <v>1</v>
      </c>
    </row>
    <row r="2" spans="2:12" x14ac:dyDescent="0.25">
      <c r="D2" t="s">
        <v>78</v>
      </c>
      <c r="E2">
        <v>1</v>
      </c>
    </row>
    <row r="3" spans="2:12" ht="15.75" thickBot="1" x14ac:dyDescent="0.3"/>
    <row r="4" spans="2:12" ht="15.75" x14ac:dyDescent="0.25">
      <c r="B4" s="13" t="s">
        <v>63</v>
      </c>
      <c r="C4" s="22" t="s">
        <v>75</v>
      </c>
      <c r="D4" s="22" t="s">
        <v>76</v>
      </c>
      <c r="E4" s="14" t="s">
        <v>64</v>
      </c>
      <c r="F4" s="14" t="s">
        <v>65</v>
      </c>
      <c r="G4" s="14" t="s">
        <v>66</v>
      </c>
      <c r="H4" s="14" t="s">
        <v>67</v>
      </c>
      <c r="I4" s="14" t="s">
        <v>68</v>
      </c>
      <c r="J4" s="14" t="s">
        <v>69</v>
      </c>
      <c r="K4" s="14" t="s">
        <v>70</v>
      </c>
      <c r="L4" s="15" t="s">
        <v>71</v>
      </c>
    </row>
    <row r="5" spans="2:12" ht="15.75" x14ac:dyDescent="0.25">
      <c r="B5" s="16" t="s">
        <v>72</v>
      </c>
      <c r="C5" s="23">
        <f ca="1">SUM(E5:OFFSET(E5,0,$E$1-1))</f>
        <v>66</v>
      </c>
      <c r="D5" s="23">
        <f ca="1">AVERAGE(E5,OFFSET(E5,0,$E$2-1))</f>
        <v>66</v>
      </c>
      <c r="E5" s="17">
        <v>66</v>
      </c>
      <c r="F5" s="17">
        <v>71</v>
      </c>
      <c r="G5" s="17">
        <v>56</v>
      </c>
      <c r="H5" s="17">
        <v>89</v>
      </c>
      <c r="I5" s="17">
        <v>65</v>
      </c>
      <c r="J5" s="17">
        <v>42</v>
      </c>
      <c r="K5" s="17">
        <v>56</v>
      </c>
      <c r="L5" s="18">
        <v>78</v>
      </c>
    </row>
    <row r="6" spans="2:12" ht="15.75" x14ac:dyDescent="0.25">
      <c r="B6" s="16" t="s">
        <v>73</v>
      </c>
      <c r="C6" s="23">
        <f ca="1">SUM(E6:OFFSET(E6,0,$E$1-1))</f>
        <v>87</v>
      </c>
      <c r="D6" s="23">
        <f t="shared" ref="D6:D7" ca="1" si="0">AVERAGE(E6,OFFSET(E6,0,$E$2-1))</f>
        <v>87</v>
      </c>
      <c r="E6" s="17">
        <v>87</v>
      </c>
      <c r="F6" s="17">
        <v>52</v>
      </c>
      <c r="G6" s="17">
        <v>68</v>
      </c>
      <c r="H6" s="17">
        <v>32</v>
      </c>
      <c r="I6" s="17">
        <v>72</v>
      </c>
      <c r="J6" s="17">
        <v>60</v>
      </c>
      <c r="K6" s="17">
        <v>61</v>
      </c>
      <c r="L6" s="18">
        <v>49</v>
      </c>
    </row>
    <row r="7" spans="2:12" ht="16.5" thickBot="1" x14ac:dyDescent="0.3">
      <c r="B7" s="19" t="s">
        <v>74</v>
      </c>
      <c r="C7" s="23">
        <f ca="1">SUM(E7:OFFSET(E7,0,$E$1-1))</f>
        <v>79</v>
      </c>
      <c r="D7" s="23">
        <f t="shared" ca="1" si="0"/>
        <v>79</v>
      </c>
      <c r="E7" s="20">
        <v>79</v>
      </c>
      <c r="F7" s="20">
        <v>40</v>
      </c>
      <c r="G7" s="20">
        <v>61</v>
      </c>
      <c r="H7" s="20">
        <v>56</v>
      </c>
      <c r="I7" s="20">
        <v>66</v>
      </c>
      <c r="J7" s="20">
        <v>71</v>
      </c>
      <c r="K7" s="20">
        <v>56</v>
      </c>
      <c r="L7" s="21">
        <v>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I21"/>
  <sheetViews>
    <sheetView workbookViewId="0">
      <selection activeCell="D14" sqref="D14"/>
    </sheetView>
  </sheetViews>
  <sheetFormatPr defaultRowHeight="15" x14ac:dyDescent="0.25"/>
  <sheetData>
    <row r="4" spans="2:9" ht="15.75" thickBot="1" x14ac:dyDescent="0.3"/>
    <row r="5" spans="2:9" ht="15.75" x14ac:dyDescent="0.25">
      <c r="B5" s="14">
        <v>1</v>
      </c>
      <c r="C5" s="14">
        <v>2</v>
      </c>
      <c r="D5" s="14">
        <v>3</v>
      </c>
      <c r="E5" s="14">
        <v>4</v>
      </c>
      <c r="F5" s="14">
        <v>5</v>
      </c>
      <c r="G5" s="14">
        <v>6</v>
      </c>
      <c r="H5" s="14">
        <v>7</v>
      </c>
      <c r="I5" s="15">
        <v>8</v>
      </c>
    </row>
    <row r="6" spans="2:9" ht="15.75" x14ac:dyDescent="0.25">
      <c r="B6" s="17">
        <v>66</v>
      </c>
      <c r="C6" s="17">
        <v>71</v>
      </c>
      <c r="D6" s="17">
        <v>56</v>
      </c>
      <c r="E6" s="17">
        <v>89</v>
      </c>
      <c r="F6" s="17">
        <v>65</v>
      </c>
      <c r="G6" s="17">
        <v>42</v>
      </c>
      <c r="H6" s="17">
        <v>56</v>
      </c>
      <c r="I6" s="18">
        <v>78</v>
      </c>
    </row>
    <row r="7" spans="2:9" ht="15.75" x14ac:dyDescent="0.25">
      <c r="B7" s="17">
        <v>87</v>
      </c>
      <c r="C7" s="17">
        <v>52</v>
      </c>
      <c r="D7" s="17">
        <v>68</v>
      </c>
      <c r="E7" s="17">
        <v>32</v>
      </c>
      <c r="F7" s="17">
        <v>72</v>
      </c>
      <c r="G7" s="17">
        <v>60</v>
      </c>
      <c r="H7" s="17">
        <v>61</v>
      </c>
      <c r="I7" s="18">
        <v>49</v>
      </c>
    </row>
    <row r="8" spans="2:9" ht="16.5" thickBot="1" x14ac:dyDescent="0.3">
      <c r="B8" s="20">
        <v>79</v>
      </c>
      <c r="C8" s="20">
        <v>40</v>
      </c>
      <c r="D8" s="20">
        <v>61</v>
      </c>
      <c r="E8" s="20">
        <v>56</v>
      </c>
      <c r="F8" s="20">
        <v>66</v>
      </c>
      <c r="G8" s="20">
        <v>71</v>
      </c>
      <c r="H8" s="20">
        <v>56</v>
      </c>
      <c r="I8" s="21">
        <v>89</v>
      </c>
    </row>
    <row r="12" spans="2:9" x14ac:dyDescent="0.25">
      <c r="B12" t="s">
        <v>79</v>
      </c>
      <c r="D12">
        <v>1</v>
      </c>
      <c r="I12">
        <f>RANK(I6,I5:I8)</f>
        <v>2</v>
      </c>
    </row>
    <row r="14" spans="2:9" x14ac:dyDescent="0.25">
      <c r="B14" t="s">
        <v>75</v>
      </c>
      <c r="D14">
        <f>SUM(CHOOSE(D12,B6:B8,C6:C8,D6:D8))</f>
        <v>232</v>
      </c>
    </row>
    <row r="16" spans="2:9" x14ac:dyDescent="0.25">
      <c r="F16" t="str">
        <f>CHOOSE(3,"aa","bb","cc")</f>
        <v>cc</v>
      </c>
    </row>
    <row r="17" spans="3:6" x14ac:dyDescent="0.25">
      <c r="C17" t="e">
        <f>CHOOSE(87,B6,B7,B8)</f>
        <v>#VALUE!</v>
      </c>
    </row>
    <row r="19" spans="3:6" x14ac:dyDescent="0.25">
      <c r="F19" t="e">
        <f ca="1">let()</f>
        <v>#NAME?</v>
      </c>
    </row>
    <row r="21" spans="3:6" x14ac:dyDescent="0.25">
      <c r="F21">
        <f>MAX(B5:B8)</f>
        <v>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topLeftCell="A4" workbookViewId="0">
      <selection activeCell="J22" sqref="J22"/>
    </sheetView>
  </sheetViews>
  <sheetFormatPr defaultRowHeight="15" x14ac:dyDescent="0.25"/>
  <cols>
    <col min="7" max="7" width="13.85546875" customWidth="1"/>
    <col min="9" max="9" width="7.85546875" customWidth="1"/>
    <col min="10" max="10" width="57.140625" customWidth="1"/>
  </cols>
  <sheetData>
    <row r="1" spans="1:16" ht="15.75" thickBot="1" x14ac:dyDescent="0.3">
      <c r="A1" s="33" t="s">
        <v>80</v>
      </c>
      <c r="B1" s="34" t="s">
        <v>81</v>
      </c>
      <c r="C1" s="34" t="s">
        <v>82</v>
      </c>
      <c r="D1" s="34" t="s">
        <v>83</v>
      </c>
      <c r="E1" s="34" t="s">
        <v>84</v>
      </c>
      <c r="F1" s="34" t="s">
        <v>85</v>
      </c>
      <c r="G1" s="34" t="s">
        <v>86</v>
      </c>
      <c r="H1" s="34" t="s">
        <v>87</v>
      </c>
      <c r="I1" s="24"/>
      <c r="J1" s="35" t="s">
        <v>88</v>
      </c>
      <c r="K1" s="24"/>
      <c r="L1" s="24"/>
      <c r="M1" s="48" t="s">
        <v>89</v>
      </c>
      <c r="N1" s="49"/>
      <c r="O1" s="50"/>
      <c r="P1" s="24"/>
    </row>
    <row r="2" spans="1:16" x14ac:dyDescent="0.25">
      <c r="A2" s="28">
        <v>1</v>
      </c>
      <c r="B2" s="30" t="s">
        <v>90</v>
      </c>
      <c r="C2" s="30" t="s">
        <v>91</v>
      </c>
      <c r="D2" s="30" t="s">
        <v>92</v>
      </c>
      <c r="E2" s="30" t="s">
        <v>93</v>
      </c>
      <c r="F2" s="30" t="s">
        <v>94</v>
      </c>
      <c r="G2" s="32">
        <v>28126</v>
      </c>
      <c r="H2" s="25">
        <v>21875</v>
      </c>
      <c r="I2" s="24"/>
      <c r="J2" s="26" t="s">
        <v>95</v>
      </c>
      <c r="K2" s="24"/>
      <c r="L2" s="24"/>
      <c r="M2" s="36" t="s">
        <v>87</v>
      </c>
      <c r="N2" s="37" t="s">
        <v>87</v>
      </c>
      <c r="O2" s="38" t="s">
        <v>96</v>
      </c>
      <c r="P2" s="24"/>
    </row>
    <row r="3" spans="1:16" x14ac:dyDescent="0.25">
      <c r="A3" s="28">
        <v>2</v>
      </c>
      <c r="B3" s="30" t="s">
        <v>97</v>
      </c>
      <c r="C3" s="30" t="s">
        <v>98</v>
      </c>
      <c r="D3" s="30" t="s">
        <v>99</v>
      </c>
      <c r="E3" s="30" t="s">
        <v>100</v>
      </c>
      <c r="F3" s="30" t="s">
        <v>101</v>
      </c>
      <c r="G3" s="32">
        <v>28126</v>
      </c>
      <c r="H3" s="25">
        <v>17500</v>
      </c>
      <c r="I3" s="24"/>
      <c r="J3" s="39"/>
      <c r="K3" s="24"/>
      <c r="L3" s="24"/>
      <c r="M3" s="40"/>
      <c r="N3" s="41" t="s">
        <v>102</v>
      </c>
      <c r="O3" s="42" t="s">
        <v>103</v>
      </c>
      <c r="P3" s="43"/>
    </row>
    <row r="4" spans="1:16" ht="17.25" customHeight="1" x14ac:dyDescent="0.25">
      <c r="A4" s="28">
        <v>3</v>
      </c>
      <c r="B4" s="30" t="s">
        <v>104</v>
      </c>
      <c r="C4" s="30" t="s">
        <v>105</v>
      </c>
      <c r="D4" s="30" t="s">
        <v>92</v>
      </c>
      <c r="E4" s="30" t="s">
        <v>106</v>
      </c>
      <c r="F4" s="30" t="s">
        <v>107</v>
      </c>
      <c r="G4" s="32">
        <v>36220</v>
      </c>
      <c r="H4" s="25">
        <v>7000</v>
      </c>
      <c r="I4" s="24"/>
      <c r="J4" s="43" t="s">
        <v>108</v>
      </c>
      <c r="K4" s="24"/>
      <c r="L4" s="24"/>
      <c r="M4" s="40" t="s">
        <v>109</v>
      </c>
      <c r="N4" s="41" t="s">
        <v>110</v>
      </c>
      <c r="O4" s="42" t="s">
        <v>111</v>
      </c>
      <c r="P4" s="24"/>
    </row>
    <row r="5" spans="1:16" x14ac:dyDescent="0.25">
      <c r="A5" s="28">
        <v>4</v>
      </c>
      <c r="B5" s="30" t="s">
        <v>112</v>
      </c>
      <c r="C5" s="30" t="s">
        <v>113</v>
      </c>
      <c r="D5" s="30" t="s">
        <v>114</v>
      </c>
      <c r="E5" s="30" t="s">
        <v>93</v>
      </c>
      <c r="F5" s="30" t="s">
        <v>115</v>
      </c>
      <c r="G5" s="32">
        <v>29183</v>
      </c>
      <c r="H5" s="25">
        <v>12250</v>
      </c>
      <c r="I5" s="24"/>
      <c r="J5" s="39"/>
      <c r="K5" s="24"/>
      <c r="L5" s="24"/>
      <c r="M5" s="40" t="s">
        <v>116</v>
      </c>
      <c r="N5" s="41" t="s">
        <v>117</v>
      </c>
      <c r="O5" s="42" t="s">
        <v>118</v>
      </c>
      <c r="P5" s="43"/>
    </row>
    <row r="6" spans="1:16" x14ac:dyDescent="0.25">
      <c r="A6" s="28">
        <v>5</v>
      </c>
      <c r="B6" s="30" t="s">
        <v>119</v>
      </c>
      <c r="C6" s="30" t="s">
        <v>120</v>
      </c>
      <c r="D6" s="30" t="s">
        <v>121</v>
      </c>
      <c r="E6" s="30" t="s">
        <v>93</v>
      </c>
      <c r="F6" s="30" t="s">
        <v>122</v>
      </c>
      <c r="G6" s="32">
        <v>32755</v>
      </c>
      <c r="H6" s="25">
        <v>21000</v>
      </c>
      <c r="I6" s="24"/>
      <c r="J6" s="26" t="s">
        <v>123</v>
      </c>
      <c r="K6" s="24"/>
      <c r="L6" s="24"/>
      <c r="M6" s="40" t="s">
        <v>124</v>
      </c>
      <c r="N6" s="41" t="s">
        <v>125</v>
      </c>
      <c r="O6" s="42" t="s">
        <v>126</v>
      </c>
      <c r="P6" s="24"/>
    </row>
    <row r="7" spans="1:16" ht="15.75" thickBot="1" x14ac:dyDescent="0.3">
      <c r="A7" s="28">
        <v>6</v>
      </c>
      <c r="B7" s="30" t="s">
        <v>127</v>
      </c>
      <c r="C7" s="30" t="s">
        <v>128</v>
      </c>
      <c r="D7" s="30" t="s">
        <v>121</v>
      </c>
      <c r="E7" s="30" t="s">
        <v>93</v>
      </c>
      <c r="F7" s="30" t="s">
        <v>129</v>
      </c>
      <c r="G7" s="32">
        <v>32390</v>
      </c>
      <c r="H7" s="25">
        <v>12425</v>
      </c>
      <c r="I7" s="24"/>
      <c r="J7" s="39"/>
      <c r="K7" s="24"/>
      <c r="L7" s="24"/>
      <c r="M7" s="44" t="s">
        <v>130</v>
      </c>
      <c r="N7" s="45"/>
      <c r="O7" s="46" t="s">
        <v>131</v>
      </c>
      <c r="P7" s="43"/>
    </row>
    <row r="8" spans="1:16" ht="12.75" customHeight="1" x14ac:dyDescent="0.25">
      <c r="A8" s="28">
        <v>7</v>
      </c>
      <c r="B8" s="30" t="s">
        <v>132</v>
      </c>
      <c r="C8" s="30" t="s">
        <v>133</v>
      </c>
      <c r="D8" s="30" t="s">
        <v>134</v>
      </c>
      <c r="E8" s="30" t="s">
        <v>135</v>
      </c>
      <c r="F8" s="30" t="s">
        <v>136</v>
      </c>
      <c r="G8" s="32">
        <v>33102</v>
      </c>
      <c r="H8" s="25">
        <v>13825</v>
      </c>
      <c r="I8" s="24"/>
      <c r="J8" s="43" t="s">
        <v>137</v>
      </c>
      <c r="K8" s="24"/>
      <c r="L8" s="24"/>
      <c r="M8" s="24"/>
      <c r="N8" s="24"/>
      <c r="O8" s="24"/>
      <c r="P8" s="24"/>
    </row>
    <row r="9" spans="1:16" x14ac:dyDescent="0.25">
      <c r="A9" s="28">
        <v>8</v>
      </c>
      <c r="B9" s="30" t="s">
        <v>138</v>
      </c>
      <c r="C9" s="30" t="s">
        <v>139</v>
      </c>
      <c r="D9" s="30" t="s">
        <v>121</v>
      </c>
      <c r="E9" s="30" t="s">
        <v>93</v>
      </c>
      <c r="F9" s="30" t="s">
        <v>140</v>
      </c>
      <c r="G9" s="32">
        <v>32755</v>
      </c>
      <c r="H9" s="25">
        <v>12425</v>
      </c>
      <c r="I9" s="24"/>
      <c r="J9" s="39"/>
      <c r="K9" s="24"/>
      <c r="L9" s="24"/>
      <c r="M9" s="24"/>
      <c r="N9" s="24"/>
      <c r="O9" s="26"/>
      <c r="P9" s="26"/>
    </row>
    <row r="10" spans="1:16" x14ac:dyDescent="0.25">
      <c r="A10" s="28">
        <v>9</v>
      </c>
      <c r="B10" s="30" t="s">
        <v>141</v>
      </c>
      <c r="C10" s="30" t="s">
        <v>142</v>
      </c>
      <c r="D10" s="30" t="s">
        <v>99</v>
      </c>
      <c r="E10" s="30" t="s">
        <v>93</v>
      </c>
      <c r="F10" s="30" t="s">
        <v>143</v>
      </c>
      <c r="G10" s="32">
        <v>36506</v>
      </c>
      <c r="H10" s="25">
        <v>14875</v>
      </c>
      <c r="I10" s="24"/>
      <c r="J10" s="24"/>
      <c r="K10" s="24"/>
      <c r="L10" s="24"/>
      <c r="M10" s="24"/>
      <c r="N10" s="24"/>
      <c r="O10" s="24"/>
      <c r="P10" s="24"/>
    </row>
    <row r="11" spans="1:16" ht="26.25" x14ac:dyDescent="0.25">
      <c r="A11" s="28">
        <v>10</v>
      </c>
      <c r="B11" s="29" t="s">
        <v>144</v>
      </c>
      <c r="C11" s="29" t="s">
        <v>145</v>
      </c>
      <c r="D11" s="29" t="s">
        <v>114</v>
      </c>
      <c r="E11" s="30" t="s">
        <v>100</v>
      </c>
      <c r="F11" s="29" t="s">
        <v>146</v>
      </c>
      <c r="G11" s="31">
        <v>28326</v>
      </c>
      <c r="H11" s="25">
        <v>15750</v>
      </c>
      <c r="I11" s="24"/>
      <c r="J11" s="47" t="s">
        <v>137</v>
      </c>
      <c r="K11" s="24"/>
      <c r="L11" s="24"/>
      <c r="M11" s="24"/>
      <c r="N11" s="24"/>
      <c r="O11" s="24"/>
      <c r="P11" s="24"/>
    </row>
    <row r="12" spans="1:16" x14ac:dyDescent="0.25">
      <c r="A12" s="28">
        <v>11</v>
      </c>
      <c r="B12" s="30" t="s">
        <v>147</v>
      </c>
      <c r="C12" s="30" t="s">
        <v>148</v>
      </c>
      <c r="D12" s="30" t="s">
        <v>149</v>
      </c>
      <c r="E12" s="30" t="s">
        <v>135</v>
      </c>
      <c r="F12" s="30" t="s">
        <v>136</v>
      </c>
      <c r="G12" s="32">
        <v>31402</v>
      </c>
      <c r="H12" s="25">
        <v>14875</v>
      </c>
      <c r="I12" s="24"/>
      <c r="J12" s="24"/>
      <c r="K12" s="24"/>
      <c r="L12" s="24"/>
      <c r="M12" s="24"/>
      <c r="N12" s="24"/>
      <c r="O12" s="24"/>
      <c r="P12" s="24"/>
    </row>
    <row r="13" spans="1:16" x14ac:dyDescent="0.25">
      <c r="A13" s="28">
        <v>12</v>
      </c>
      <c r="B13" s="30" t="s">
        <v>150</v>
      </c>
      <c r="C13" s="30" t="s">
        <v>151</v>
      </c>
      <c r="D13" s="30" t="s">
        <v>92</v>
      </c>
      <c r="E13" s="30" t="s">
        <v>93</v>
      </c>
      <c r="F13" s="30" t="s">
        <v>152</v>
      </c>
      <c r="G13" s="32">
        <v>30376</v>
      </c>
      <c r="H13" s="25">
        <v>21000</v>
      </c>
      <c r="I13" s="24"/>
      <c r="J13" s="24">
        <f>COUNTIFS(H2:H22,"&gt;7000")</f>
        <v>19</v>
      </c>
      <c r="K13" s="24"/>
      <c r="L13" s="24"/>
      <c r="M13" s="24"/>
      <c r="N13" s="24"/>
      <c r="O13" s="24"/>
      <c r="P13" s="24"/>
    </row>
    <row r="14" spans="1:16" x14ac:dyDescent="0.25">
      <c r="A14" s="28">
        <v>13</v>
      </c>
      <c r="B14" s="30" t="s">
        <v>153</v>
      </c>
      <c r="C14" s="30" t="s">
        <v>154</v>
      </c>
      <c r="D14" s="30" t="s">
        <v>149</v>
      </c>
      <c r="E14" s="30" t="s">
        <v>100</v>
      </c>
      <c r="F14" s="30" t="s">
        <v>155</v>
      </c>
      <c r="G14" s="32">
        <v>31027</v>
      </c>
      <c r="H14" s="25">
        <v>19250</v>
      </c>
      <c r="I14" s="24"/>
      <c r="J14" s="24"/>
      <c r="K14" s="24"/>
      <c r="L14" s="24"/>
      <c r="M14" s="24"/>
      <c r="N14" s="24"/>
      <c r="O14" s="24"/>
      <c r="P14" s="24"/>
    </row>
    <row r="15" spans="1:16" x14ac:dyDescent="0.25">
      <c r="A15" s="28">
        <v>14</v>
      </c>
      <c r="B15" s="29" t="s">
        <v>156</v>
      </c>
      <c r="C15" s="29" t="s">
        <v>157</v>
      </c>
      <c r="D15" s="29" t="s">
        <v>158</v>
      </c>
      <c r="E15" s="30" t="s">
        <v>106</v>
      </c>
      <c r="F15" s="29" t="s">
        <v>159</v>
      </c>
      <c r="G15" s="31">
        <v>31028</v>
      </c>
      <c r="H15" s="25">
        <v>49000</v>
      </c>
      <c r="I15" s="24"/>
      <c r="J15" s="24">
        <f>COUNTIFS(D2:D23,"Mktg",H2:H23,"&lt;15000")</f>
        <v>5</v>
      </c>
      <c r="K15" s="24"/>
      <c r="L15" s="24"/>
      <c r="M15" s="24"/>
      <c r="N15" s="24"/>
      <c r="O15" s="24"/>
      <c r="P15" s="24"/>
    </row>
    <row r="16" spans="1:16" x14ac:dyDescent="0.25">
      <c r="A16" s="28">
        <v>15</v>
      </c>
      <c r="B16" s="30" t="s">
        <v>160</v>
      </c>
      <c r="C16" s="30" t="s">
        <v>161</v>
      </c>
      <c r="D16" s="30" t="s">
        <v>134</v>
      </c>
      <c r="E16" s="30" t="s">
        <v>93</v>
      </c>
      <c r="F16" s="30" t="s">
        <v>152</v>
      </c>
      <c r="G16" s="32">
        <v>31029</v>
      </c>
      <c r="H16" s="25">
        <v>14875</v>
      </c>
      <c r="I16" s="24"/>
      <c r="J16" s="24"/>
      <c r="K16" s="24"/>
      <c r="L16" s="24"/>
      <c r="M16" s="24"/>
      <c r="N16" s="24"/>
      <c r="O16" s="24"/>
      <c r="P16" s="24"/>
    </row>
    <row r="17" spans="1:10" x14ac:dyDescent="0.25">
      <c r="A17" s="28">
        <v>16</v>
      </c>
      <c r="B17" s="30" t="s">
        <v>162</v>
      </c>
      <c r="C17" s="30" t="s">
        <v>163</v>
      </c>
      <c r="D17" s="30" t="s">
        <v>134</v>
      </c>
      <c r="E17" s="30" t="s">
        <v>93</v>
      </c>
      <c r="F17" s="30" t="s">
        <v>164</v>
      </c>
      <c r="G17" s="32">
        <v>31030</v>
      </c>
      <c r="H17" s="25">
        <v>14875</v>
      </c>
      <c r="I17" s="24"/>
      <c r="J17" s="24">
        <f>COUNTIFS(H2:H24,"&lt;15000",D2:D24,"Mktg")</f>
        <v>6</v>
      </c>
    </row>
    <row r="18" spans="1:10" x14ac:dyDescent="0.25">
      <c r="A18" s="28">
        <v>17</v>
      </c>
      <c r="B18" s="30" t="s">
        <v>165</v>
      </c>
      <c r="C18" s="30" t="s">
        <v>166</v>
      </c>
      <c r="D18" s="30" t="s">
        <v>92</v>
      </c>
      <c r="E18" s="30" t="s">
        <v>100</v>
      </c>
      <c r="F18" s="30" t="s">
        <v>101</v>
      </c>
      <c r="G18" s="32">
        <v>30376</v>
      </c>
      <c r="H18" s="25">
        <v>15750</v>
      </c>
      <c r="I18" s="24"/>
      <c r="J18" s="27">
        <f>SUMIFS(H4:H27,D4:D27,"Sales",E4:E27,"south")</f>
        <v>0</v>
      </c>
    </row>
    <row r="19" spans="1:10" x14ac:dyDescent="0.25">
      <c r="A19" s="28">
        <v>18</v>
      </c>
      <c r="B19" s="30" t="s">
        <v>167</v>
      </c>
      <c r="C19" s="30" t="s">
        <v>168</v>
      </c>
      <c r="D19" s="30" t="s">
        <v>92</v>
      </c>
      <c r="E19" s="30" t="s">
        <v>135</v>
      </c>
      <c r="F19" s="30" t="s">
        <v>169</v>
      </c>
      <c r="G19" s="32">
        <v>30376</v>
      </c>
      <c r="H19" s="25">
        <v>15750</v>
      </c>
      <c r="I19" s="24"/>
      <c r="J19" s="24"/>
    </row>
    <row r="20" spans="1:10" ht="26.25" x14ac:dyDescent="0.25">
      <c r="A20" s="28">
        <v>19</v>
      </c>
      <c r="B20" s="30" t="s">
        <v>170</v>
      </c>
      <c r="C20" s="30" t="s">
        <v>171</v>
      </c>
      <c r="D20" s="30" t="s">
        <v>114</v>
      </c>
      <c r="E20" s="30" t="s">
        <v>93</v>
      </c>
      <c r="F20" s="30" t="s">
        <v>129</v>
      </c>
      <c r="G20" s="32">
        <v>31637</v>
      </c>
      <c r="H20" s="25">
        <v>10500</v>
      </c>
      <c r="I20" s="24"/>
      <c r="J20" s="47" t="s">
        <v>108</v>
      </c>
    </row>
    <row r="21" spans="1:10" x14ac:dyDescent="0.25">
      <c r="A21" s="28">
        <v>20</v>
      </c>
      <c r="B21" s="30" t="s">
        <v>172</v>
      </c>
      <c r="C21" s="30" t="s">
        <v>173</v>
      </c>
      <c r="D21" s="30" t="s">
        <v>114</v>
      </c>
      <c r="E21" s="30" t="s">
        <v>93</v>
      </c>
      <c r="F21" s="30" t="s">
        <v>164</v>
      </c>
      <c r="G21" s="32">
        <v>36316</v>
      </c>
      <c r="H21" s="25">
        <v>5950</v>
      </c>
      <c r="I21" s="24"/>
      <c r="J21" s="24"/>
    </row>
    <row r="22" spans="1:10" x14ac:dyDescent="0.25">
      <c r="A22" s="28">
        <v>21</v>
      </c>
      <c r="B22" s="30" t="s">
        <v>174</v>
      </c>
      <c r="C22" s="30" t="s">
        <v>175</v>
      </c>
      <c r="D22" s="30" t="s">
        <v>114</v>
      </c>
      <c r="E22" s="30" t="s">
        <v>100</v>
      </c>
      <c r="F22" s="30" t="s">
        <v>176</v>
      </c>
      <c r="G22" s="32">
        <v>36317</v>
      </c>
      <c r="H22" s="25">
        <v>7875</v>
      </c>
      <c r="I22" s="24"/>
      <c r="J22" s="24">
        <f>SUMIFS(H2:H24,D2:D24,"Sales",E2:E24,"south")</f>
        <v>0</v>
      </c>
    </row>
    <row r="23" spans="1:10" x14ac:dyDescent="0.25">
      <c r="A23" s="28">
        <v>22</v>
      </c>
      <c r="B23" s="30" t="s">
        <v>177</v>
      </c>
      <c r="C23" s="30" t="s">
        <v>178</v>
      </c>
      <c r="D23" s="30" t="s">
        <v>114</v>
      </c>
      <c r="E23" s="30" t="s">
        <v>135</v>
      </c>
      <c r="F23" s="30" t="s">
        <v>169</v>
      </c>
      <c r="G23" s="32">
        <v>36318</v>
      </c>
      <c r="H23" s="25">
        <v>7875</v>
      </c>
      <c r="I23" s="24"/>
      <c r="J23" s="24"/>
    </row>
    <row r="24" spans="1:10" x14ac:dyDescent="0.25">
      <c r="A24" s="28">
        <v>23</v>
      </c>
      <c r="B24" s="30" t="s">
        <v>179</v>
      </c>
      <c r="C24" s="30" t="s">
        <v>180</v>
      </c>
      <c r="D24" s="30" t="s">
        <v>114</v>
      </c>
      <c r="E24" s="30" t="s">
        <v>135</v>
      </c>
      <c r="F24" s="30" t="s">
        <v>136</v>
      </c>
      <c r="G24" s="32">
        <v>36319</v>
      </c>
      <c r="H24" s="25">
        <v>7875</v>
      </c>
      <c r="I24" s="24"/>
      <c r="J24" s="24"/>
    </row>
    <row r="25" spans="1:10" x14ac:dyDescent="0.25">
      <c r="A25" s="28">
        <v>24</v>
      </c>
      <c r="B25" s="30" t="s">
        <v>181</v>
      </c>
      <c r="C25" s="30" t="s">
        <v>182</v>
      </c>
      <c r="D25" s="30" t="s">
        <v>99</v>
      </c>
      <c r="E25" s="30" t="s">
        <v>135</v>
      </c>
      <c r="F25" s="30" t="s">
        <v>169</v>
      </c>
      <c r="G25" s="32">
        <v>29362</v>
      </c>
      <c r="H25" s="25">
        <v>14875</v>
      </c>
      <c r="I25" s="24"/>
      <c r="J25" s="24">
        <f>SUMIF(E4:E23,"south",H4:H23)</f>
        <v>56000</v>
      </c>
    </row>
    <row r="26" spans="1:10" x14ac:dyDescent="0.25">
      <c r="A26" s="28">
        <v>25</v>
      </c>
      <c r="B26" s="30" t="s">
        <v>183</v>
      </c>
      <c r="C26" s="30" t="s">
        <v>184</v>
      </c>
      <c r="D26" s="30" t="s">
        <v>121</v>
      </c>
      <c r="E26" s="30" t="s">
        <v>106</v>
      </c>
      <c r="F26" s="30" t="s">
        <v>185</v>
      </c>
      <c r="G26" s="32">
        <v>36274</v>
      </c>
      <c r="H26" s="25">
        <v>7875</v>
      </c>
      <c r="I26" s="24"/>
      <c r="J26" s="24"/>
    </row>
    <row r="27" spans="1:10" x14ac:dyDescent="0.25">
      <c r="A27" s="28">
        <v>26</v>
      </c>
      <c r="B27" s="30" t="s">
        <v>186</v>
      </c>
      <c r="C27" s="30" t="s">
        <v>187</v>
      </c>
      <c r="D27" s="30" t="s">
        <v>99</v>
      </c>
      <c r="E27" s="30" t="s">
        <v>100</v>
      </c>
      <c r="F27" s="30" t="s">
        <v>101</v>
      </c>
      <c r="G27" s="32">
        <v>30225</v>
      </c>
      <c r="H27" s="25">
        <v>19250</v>
      </c>
      <c r="I27" s="24"/>
      <c r="J27" s="24"/>
    </row>
    <row r="28" spans="1:10" x14ac:dyDescent="0.25">
      <c r="A28" s="28">
        <v>27</v>
      </c>
      <c r="B28" s="30" t="s">
        <v>188</v>
      </c>
      <c r="C28" s="30" t="s">
        <v>189</v>
      </c>
      <c r="D28" s="30" t="s">
        <v>99</v>
      </c>
      <c r="E28" s="30" t="s">
        <v>106</v>
      </c>
      <c r="F28" s="30" t="s">
        <v>190</v>
      </c>
      <c r="G28" s="32">
        <v>33787</v>
      </c>
      <c r="H28" s="25">
        <v>13125</v>
      </c>
      <c r="I28" s="24"/>
      <c r="J28" s="24"/>
    </row>
    <row r="29" spans="1:10" x14ac:dyDescent="0.25">
      <c r="A29" s="28">
        <v>28</v>
      </c>
      <c r="B29" s="30" t="s">
        <v>191</v>
      </c>
      <c r="C29" s="30" t="s">
        <v>192</v>
      </c>
      <c r="D29" s="30" t="s">
        <v>121</v>
      </c>
      <c r="E29" s="30" t="s">
        <v>135</v>
      </c>
      <c r="F29" s="30" t="s">
        <v>193</v>
      </c>
      <c r="G29" s="32">
        <v>34777</v>
      </c>
      <c r="H29" s="25">
        <v>10500</v>
      </c>
      <c r="I29" s="24"/>
      <c r="J29" s="24"/>
    </row>
    <row r="30" spans="1:10" x14ac:dyDescent="0.25">
      <c r="A30" s="28">
        <v>29</v>
      </c>
      <c r="B30" s="30" t="s">
        <v>194</v>
      </c>
      <c r="C30" s="30" t="s">
        <v>195</v>
      </c>
      <c r="D30" s="30" t="s">
        <v>92</v>
      </c>
      <c r="E30" s="30" t="s">
        <v>93</v>
      </c>
      <c r="F30" s="30" t="s">
        <v>164</v>
      </c>
      <c r="G30" s="32">
        <v>35189</v>
      </c>
      <c r="H30" s="25">
        <v>9625</v>
      </c>
      <c r="I30" s="24"/>
      <c r="J30" s="24"/>
    </row>
  </sheetData>
  <mergeCells count="1">
    <mergeCell ref="M1:O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Basic</vt:lpstr>
      <vt:lpstr>conditional formating</vt:lpstr>
      <vt:lpstr>date</vt:lpstr>
      <vt:lpstr>index</vt:lpstr>
      <vt:lpstr>offset</vt:lpstr>
      <vt:lpstr>choose</vt:lpstr>
      <vt:lpstr>Sheet1</vt:lpstr>
      <vt:lpstr>LET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 OFFICE</cp:lastModifiedBy>
  <dcterms:created xsi:type="dcterms:W3CDTF">2023-12-11T05:58:09Z</dcterms:created>
  <dcterms:modified xsi:type="dcterms:W3CDTF">2025-03-11T07:15:00Z</dcterms:modified>
</cp:coreProperties>
</file>